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erag\OneDrive\Рабочий стол\Downloads\"/>
    </mc:Choice>
  </mc:AlternateContent>
  <xr:revisionPtr revIDLastSave="0" documentId="8_{F91AEBD3-1A4F-4D55-9985-FD55FA12E4E8}" xr6:coauthVersionLast="47" xr6:coauthVersionMax="47" xr10:uidLastSave="{00000000-0000-0000-0000-000000000000}"/>
  <bookViews>
    <workbookView xWindow="-108" yWindow="-108" windowWidth="23256" windowHeight="13176"/>
  </bookViews>
  <sheets>
    <sheet name="Corelaytsiya" sheetId="1" r:id="rId1"/>
    <sheet name="BD" sheetId="2" r:id="rId2"/>
  </sheets>
  <calcPr calcId="0"/>
  <fileRecoveryPr repairLoad="1"/>
</workbook>
</file>

<file path=xl/calcChain.xml><?xml version="1.0" encoding="utf-8"?>
<calcChain xmlns="http://schemas.openxmlformats.org/spreadsheetml/2006/main">
  <c r="O2" i="2" l="1"/>
  <c r="P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</calcChain>
</file>

<file path=xl/sharedStrings.xml><?xml version="1.0" encoding="utf-8"?>
<sst xmlns="http://schemas.openxmlformats.org/spreadsheetml/2006/main" count="54" uniqueCount="54">
  <si>
    <t>1 Articles</t>
  </si>
  <si>
    <t>2 Members</t>
  </si>
  <si>
    <t>3 Photos</t>
  </si>
  <si>
    <t>4 Discussion board</t>
  </si>
  <si>
    <t>5 Videos</t>
  </si>
  <si>
    <t>6 Links</t>
  </si>
  <si>
    <t>7 Contacts</t>
  </si>
  <si>
    <t>8 Website</t>
  </si>
  <si>
    <t>9  Description_count</t>
  </si>
  <si>
    <t>10 Records_count</t>
  </si>
  <si>
    <t>11 Likes</t>
  </si>
  <si>
    <t>12 Comments</t>
  </si>
  <si>
    <t>13 Reposts</t>
  </si>
  <si>
    <t>14 Success</t>
  </si>
  <si>
    <t>Name</t>
  </si>
  <si>
    <t>Articles</t>
  </si>
  <si>
    <t>Members</t>
  </si>
  <si>
    <t>Photos</t>
  </si>
  <si>
    <t>Discussion board</t>
  </si>
  <si>
    <t>Videos</t>
  </si>
  <si>
    <t>Links</t>
  </si>
  <si>
    <t>Contacts</t>
  </si>
  <si>
    <t>Website</t>
  </si>
  <si>
    <t>Description_count</t>
  </si>
  <si>
    <t>Records_count</t>
  </si>
  <si>
    <t>Likes</t>
  </si>
  <si>
    <t>Comments</t>
  </si>
  <si>
    <t>Reposts</t>
  </si>
  <si>
    <t>Success</t>
  </si>
  <si>
    <t>Average_success</t>
  </si>
  <si>
    <t>HSE 5x5</t>
  </si>
  <si>
    <t>HSE Case School</t>
  </si>
  <si>
    <t>HSE RUN</t>
  </si>
  <si>
    <t>Хочу в МИЭМ НИУ ВШЭ</t>
  </si>
  <si>
    <t>Подслушано ВШЭ</t>
  </si>
  <si>
    <t>Типография НИУ ВШЭ</t>
  </si>
  <si>
    <t>ИА «Панорама ВШЭ»</t>
  </si>
  <si>
    <t>подслушано хсе | ВШЭ</t>
  </si>
  <si>
    <t>HSE Career | Центр развития карьеры ВШЭ</t>
  </si>
  <si>
    <t>Школа дизайна НИУ ВШЭ</t>
  </si>
  <si>
    <t>Цитатник ВШЭ</t>
  </si>
  <si>
    <t>КиберВышка | Киберспорт в НИУ ВШЭ Москва</t>
  </si>
  <si>
    <t>Зелёная Вышка</t>
  </si>
  <si>
    <t>Типичный ВШЭ</t>
  </si>
  <si>
    <t>хайер скул оф мемс</t>
  </si>
  <si>
    <t>Ингруп СтС НИУ ВШЭ</t>
  </si>
  <si>
    <t>Высшая школа экономики</t>
  </si>
  <si>
    <t>Олимпиада шокльников "Высшая проба"</t>
  </si>
  <si>
    <t>Хочу в НИУ ВШЭ</t>
  </si>
  <si>
    <t>Лектории ВШЭ</t>
  </si>
  <si>
    <t>Студенческий совет НИУ ВШЭ</t>
  </si>
  <si>
    <t>Студентам НИУ ВШЭ в помощь!</t>
  </si>
  <si>
    <t>Абитуриент НИУ ВШЭ — Санкт-Петербург</t>
  </si>
  <si>
    <t>Питерская Вышка | НИУ ВШЭ — Санкт-Петербург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</si>
</sst>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3" formatCode="0.00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5"/>
      <color indexed="54"/>
      <name val="Calibri"/>
      <family val="2"/>
      <charset val="204"/>
    </font>
    <font>
      <b/>
      <sz val="11"/>
      <color indexed="54"/>
      <name val="Calibri"/>
      <family val="2"/>
      <charset val="204"/>
    </font>
    <font>
      <sz val="18"/>
      <color indexed="54"/>
      <name val="Calibri Light"/>
      <family val="2"/>
      <charset val="204"/>
    </font>
    <font>
      <sz val="11"/>
      <color indexed="52"/>
      <name val="Calibri"/>
      <family val="2"/>
      <charset val="204"/>
    </font>
    <font>
      <u/>
      <sz val="11"/>
      <color indexed="25"/>
      <name val="Calibri"/>
      <family val="2"/>
      <charset val="204"/>
    </font>
    <font>
      <b/>
      <sz val="11"/>
      <color indexed="8"/>
      <name val="Calibri"/>
      <family val="2"/>
      <charset val="204"/>
    </font>
    <font>
      <i/>
      <sz val="11"/>
      <color indexed="8"/>
      <name val="Calibri"/>
      <family val="2"/>
      <charset val="204"/>
    </font>
    <font>
      <b/>
      <i/>
      <sz val="11"/>
      <color indexed="8"/>
      <name val="Calibri"/>
      <family val="2"/>
      <charset val="204"/>
    </font>
    <font>
      <i/>
      <sz val="11"/>
      <name val="Calibri"/>
      <family val="2"/>
      <charset val="204"/>
    </font>
    <font>
      <sz val="11"/>
      <color indexed="8"/>
      <name val="Calibri"/>
      <family val="2"/>
      <charset val="204"/>
    </font>
    <font>
      <sz val="18"/>
      <color indexed="54"/>
      <name val="Calibri Light"/>
      <family val="2"/>
      <charset val="204"/>
    </font>
    <font>
      <b/>
      <sz val="15"/>
      <color indexed="54"/>
      <name val="Calibri"/>
      <family val="2"/>
      <charset val="204"/>
    </font>
    <font>
      <b/>
      <sz val="13"/>
      <color indexed="54"/>
      <name val="Calibri"/>
      <family val="2"/>
      <charset val="204"/>
    </font>
    <font>
      <b/>
      <sz val="11"/>
      <color indexed="54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indexed="20"/>
      <name val="Calibri"/>
      <family val="2"/>
      <charset val="204"/>
    </font>
    <font>
      <sz val="11"/>
      <color indexed="60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11"/>
      <color indexed="52"/>
      <name val="Calibri"/>
      <family val="2"/>
      <charset val="204"/>
    </font>
    <font>
      <b/>
      <sz val="11"/>
      <color indexed="9"/>
      <name val="Calibri"/>
      <family val="2"/>
      <charset val="204"/>
    </font>
    <font>
      <sz val="11"/>
      <color indexed="10"/>
      <name val="Calibri"/>
      <family val="2"/>
      <charset val="204"/>
    </font>
    <font>
      <i/>
      <sz val="11"/>
      <color indexed="23"/>
      <name val="Calibri"/>
      <family val="2"/>
      <charset val="204"/>
    </font>
    <font>
      <b/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b/>
      <sz val="13"/>
      <color indexed="54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</fills>
  <borders count="12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9">
    <xf numFmtId="0" fontId="0" fillId="0" borderId="0"/>
    <xf numFmtId="0" fontId="7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2" fillId="13" borderId="0" applyNumberFormat="0" applyBorder="0" applyAlignment="0" applyProtection="0"/>
    <xf numFmtId="0" fontId="12" fillId="5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14" borderId="0" applyNumberFormat="0" applyBorder="0" applyAlignment="0" applyProtection="0"/>
    <xf numFmtId="0" fontId="12" fillId="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6" borderId="0" applyNumberFormat="0" applyBorder="0" applyAlignment="0" applyProtection="0"/>
    <xf numFmtId="0" fontId="12" fillId="1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7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6" borderId="0" applyNumberFormat="0" applyBorder="0" applyAlignment="0" applyProtection="0"/>
    <xf numFmtId="0" fontId="12" fillId="16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27" fillId="8" borderId="0" applyNumberFormat="0" applyBorder="0" applyAlignment="0" applyProtection="0"/>
    <xf numFmtId="0" fontId="27" fillId="8" borderId="0" applyNumberFormat="0" applyBorder="0" applyAlignment="0" applyProtection="0"/>
    <xf numFmtId="0" fontId="27" fillId="9" borderId="0" applyNumberFormat="0" applyBorder="0" applyAlignment="0" applyProtection="0"/>
    <xf numFmtId="0" fontId="27" fillId="9" borderId="0" applyNumberFormat="0" applyBorder="0" applyAlignment="0" applyProtection="0"/>
    <xf numFmtId="0" fontId="27" fillId="7" borderId="0" applyNumberFormat="0" applyBorder="0" applyAlignment="0" applyProtection="0"/>
    <xf numFmtId="0" fontId="27" fillId="10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0" fillId="6" borderId="2" applyNumberFormat="0" applyAlignment="0" applyProtection="0"/>
    <xf numFmtId="0" fontId="20" fillId="2" borderId="2" applyNumberFormat="0" applyAlignment="0" applyProtection="0"/>
    <xf numFmtId="0" fontId="21" fillId="14" borderId="3" applyNumberFormat="0" applyAlignment="0" applyProtection="0"/>
    <xf numFmtId="0" fontId="21" fillId="2" borderId="3" applyNumberFormat="0" applyAlignment="0" applyProtection="0"/>
    <xf numFmtId="0" fontId="14" fillId="0" borderId="5" applyNumberFormat="0" applyFill="0" applyAlignment="0" applyProtection="0"/>
    <xf numFmtId="0" fontId="3" fillId="0" borderId="5" applyNumberFormat="0" applyFill="0" applyAlignment="0" applyProtection="0"/>
    <xf numFmtId="0" fontId="15" fillId="0" borderId="6" applyNumberFormat="0" applyFill="0" applyAlignment="0" applyProtection="0"/>
    <xf numFmtId="0" fontId="28" fillId="0" borderId="6" applyNumberFormat="0" applyFill="0" applyAlignment="0" applyProtection="0"/>
    <xf numFmtId="0" fontId="16" fillId="0" borderId="7" applyNumberFormat="0" applyFill="0" applyAlignment="0" applyProtection="0"/>
    <xf numFmtId="0" fontId="4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1" applyNumberFormat="0" applyFill="0" applyAlignment="0" applyProtection="0"/>
    <xf numFmtId="0" fontId="26" fillId="0" borderId="1" applyNumberFormat="0" applyFill="0" applyAlignment="0" applyProtection="0"/>
    <xf numFmtId="0" fontId="23" fillId="7" borderId="9" applyNumberFormat="0" applyAlignment="0" applyProtection="0"/>
    <xf numFmtId="0" fontId="1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9" fillId="6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25" fillId="0" borderId="0" applyNumberFormat="0" applyFill="0" applyBorder="0" applyAlignment="0" applyProtection="0"/>
    <xf numFmtId="0" fontId="12" fillId="5" borderId="8" applyNumberFormat="0" applyFont="0" applyAlignment="0" applyProtection="0"/>
    <xf numFmtId="0" fontId="1" fillId="5" borderId="8" applyNumberFormat="0" applyFont="0" applyAlignment="0" applyProtection="0"/>
    <xf numFmtId="0" fontId="22" fillId="0" borderId="4" applyNumberFormat="0" applyFill="0" applyAlignment="0" applyProtection="0"/>
    <xf numFmtId="0" fontId="6" fillId="0" borderId="4" applyNumberFormat="0" applyFill="0" applyAlignment="0" applyProtection="0"/>
    <xf numFmtId="0" fontId="24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</cellStyleXfs>
  <cellXfs count="12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Fill="1" applyBorder="1" applyAlignment="1"/>
    <xf numFmtId="0" fontId="9" fillId="0" borderId="10" xfId="0" applyFont="1" applyFill="1" applyBorder="1" applyAlignment="1">
      <alignment horizontal="center"/>
    </xf>
    <xf numFmtId="0" fontId="8" fillId="0" borderId="0" xfId="0" applyFont="1" applyFill="1" applyBorder="1" applyAlignment="1"/>
    <xf numFmtId="0" fontId="8" fillId="0" borderId="11" xfId="0" applyFont="1" applyFill="1" applyBorder="1" applyAlignment="1"/>
    <xf numFmtId="0" fontId="10" fillId="0" borderId="10" xfId="0" applyFont="1" applyFill="1" applyBorder="1" applyAlignment="1">
      <alignment horizontal="center"/>
    </xf>
    <xf numFmtId="173" fontId="0" fillId="0" borderId="0" xfId="0" applyNumberFormat="1" applyFill="1" applyBorder="1" applyAlignment="1"/>
    <xf numFmtId="173" fontId="0" fillId="0" borderId="11" xfId="0" applyNumberFormat="1" applyFill="1" applyBorder="1" applyAlignment="1"/>
    <xf numFmtId="0" fontId="9" fillId="0" borderId="0" xfId="0" applyFont="1"/>
    <xf numFmtId="0" fontId="11" fillId="0" borderId="0" xfId="0" applyFont="1" applyAlignment="1">
      <alignment horizontal="left" vertical="center" wrapText="1"/>
    </xf>
  </cellXfs>
  <cellStyles count="69">
    <cellStyle name="????" xfId="53"/>
    <cellStyle name="???? " xfId="41"/>
    <cellStyle name="????  2" xfId="42"/>
    <cellStyle name="???? 2" xfId="54"/>
    <cellStyle name="?????" xfId="43"/>
    <cellStyle name="????? ??????????????" xfId="66"/>
    <cellStyle name="????? 2" xfId="44"/>
    <cellStyle name="??????" xfId="59"/>
    <cellStyle name="?????? 2" xfId="60"/>
    <cellStyle name="???????" xfId="67"/>
    <cellStyle name="??????? 2" xfId="68"/>
    <cellStyle name="????????" xfId="56"/>
    <cellStyle name="???????? 2" xfId="57"/>
    <cellStyle name="?????????" xfId="61"/>
    <cellStyle name="????????? ??????" xfId="64"/>
    <cellStyle name="????????? ?????? 2" xfId="65"/>
    <cellStyle name="????????? 1" xfId="45"/>
    <cellStyle name="????????? 1 2" xfId="46"/>
    <cellStyle name="????????? 2" xfId="47"/>
    <cellStyle name="????????? 2 2" xfId="48"/>
    <cellStyle name="????????? 3" xfId="49"/>
    <cellStyle name="????????? 3 2" xfId="50"/>
    <cellStyle name="????????? 4" xfId="51"/>
    <cellStyle name="????????? 4 2" xfId="52"/>
    <cellStyle name="??????????" xfId="62"/>
    <cellStyle name="?????????? 2" xfId="63"/>
    <cellStyle name="???????????" xfId="58"/>
    <cellStyle name="??????????? ??????" xfId="55"/>
    <cellStyle name="????????????? ???????????" xfId="1"/>
    <cellStyle name="??????1" xfId="31"/>
    <cellStyle name="??????1 2" xfId="32"/>
    <cellStyle name="??????2" xfId="33"/>
    <cellStyle name="??????2 2" xfId="34"/>
    <cellStyle name="??????3" xfId="35"/>
    <cellStyle name="??????4" xfId="36"/>
    <cellStyle name="??????4 2" xfId="37"/>
    <cellStyle name="??????5" xfId="38"/>
    <cellStyle name="??????6" xfId="39"/>
    <cellStyle name="??????6 2" xfId="40"/>
    <cellStyle name="20% — ??????1" xfId="2"/>
    <cellStyle name="20% — ??????1 2" xfId="3"/>
    <cellStyle name="20% — ??????2" xfId="4"/>
    <cellStyle name="20% — ??????2 2" xfId="5"/>
    <cellStyle name="20% — ??????3" xfId="6"/>
    <cellStyle name="20% — ??????3 2" xfId="7"/>
    <cellStyle name="20% — ??????4" xfId="8"/>
    <cellStyle name="20% — ??????5" xfId="9"/>
    <cellStyle name="20% — ??????5 2" xfId="10"/>
    <cellStyle name="20% — ??????6" xfId="11"/>
    <cellStyle name="20% — ??????6 2" xfId="12"/>
    <cellStyle name="40% — ??????1" xfId="13"/>
    <cellStyle name="40% — ??????2" xfId="14"/>
    <cellStyle name="40% — ??????2 2" xfId="15"/>
    <cellStyle name="40% — ??????3" xfId="16"/>
    <cellStyle name="40% — ??????3 2" xfId="17"/>
    <cellStyle name="40% — ??????4" xfId="18"/>
    <cellStyle name="40% — ??????5" xfId="19"/>
    <cellStyle name="40% — ??????6" xfId="20"/>
    <cellStyle name="40% — ??????6 2" xfId="21"/>
    <cellStyle name="60% — ??????1" xfId="22"/>
    <cellStyle name="60% — ??????1 2" xfId="23"/>
    <cellStyle name="60% — ??????2" xfId="24"/>
    <cellStyle name="60% — ??????2 2" xfId="25"/>
    <cellStyle name="60% — ??????3" xfId="26"/>
    <cellStyle name="60% — ??????4" xfId="27"/>
    <cellStyle name="60% — ??????5" xfId="28"/>
    <cellStyle name="60% — ??????6" xfId="29"/>
    <cellStyle name="60% — ??????6 2" xfId="30"/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Articles</a:t>
            </a:r>
          </a:p>
        </c:rich>
      </c:tx>
      <c:layout>
        <c:manualLayout>
          <c:xMode val="edge"/>
          <c:yMode val="edge"/>
          <c:x val="0.36469859318268527"/>
          <c:y val="2.54965651714405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959454782151418E-2"/>
          <c:y val="0.17564300451436834"/>
          <c:w val="0.87791697544429226"/>
          <c:h val="0.7110708731146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BD!$B$2:$B$25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142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42</c:v>
                </c:pt>
                <c:pt idx="10">
                  <c:v>0</c:v>
                </c:pt>
                <c:pt idx="11">
                  <c:v>15</c:v>
                </c:pt>
                <c:pt idx="12">
                  <c:v>131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57</c:v>
                </c:pt>
                <c:pt idx="17">
                  <c:v>0</c:v>
                </c:pt>
                <c:pt idx="18">
                  <c:v>33</c:v>
                </c:pt>
                <c:pt idx="19">
                  <c:v>21</c:v>
                </c:pt>
                <c:pt idx="20">
                  <c:v>43</c:v>
                </c:pt>
                <c:pt idx="21">
                  <c:v>0</c:v>
                </c:pt>
                <c:pt idx="22">
                  <c:v>1</c:v>
                </c:pt>
                <c:pt idx="23">
                  <c:v>176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55-4C89-B1FB-C95205BE0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498224"/>
        <c:axId val="1"/>
      </c:scatterChart>
      <c:valAx>
        <c:axId val="727498224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74982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Comments</a:t>
            </a:r>
          </a:p>
        </c:rich>
      </c:tx>
      <c:layout>
        <c:manualLayout>
          <c:xMode val="edge"/>
          <c:yMode val="edge"/>
          <c:x val="0.33994529500286502"/>
          <c:y val="2.54965651714405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959454782151418E-2"/>
          <c:y val="0.17564300451436834"/>
          <c:w val="0.85976455677909069"/>
          <c:h val="0.7110708731146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BD!$M$2:$M$25</c:f>
              <c:numCache>
                <c:formatCode>General</c:formatCode>
                <c:ptCount val="24"/>
                <c:pt idx="0">
                  <c:v>534</c:v>
                </c:pt>
                <c:pt idx="1">
                  <c:v>334725</c:v>
                </c:pt>
                <c:pt idx="2">
                  <c:v>157541</c:v>
                </c:pt>
                <c:pt idx="3">
                  <c:v>5187</c:v>
                </c:pt>
                <c:pt idx="4">
                  <c:v>16248</c:v>
                </c:pt>
                <c:pt idx="5">
                  <c:v>2026</c:v>
                </c:pt>
                <c:pt idx="6">
                  <c:v>5426</c:v>
                </c:pt>
                <c:pt idx="7">
                  <c:v>8666</c:v>
                </c:pt>
                <c:pt idx="8">
                  <c:v>2688</c:v>
                </c:pt>
                <c:pt idx="9">
                  <c:v>7603</c:v>
                </c:pt>
                <c:pt idx="10">
                  <c:v>770</c:v>
                </c:pt>
                <c:pt idx="11">
                  <c:v>1707</c:v>
                </c:pt>
                <c:pt idx="12">
                  <c:v>2413</c:v>
                </c:pt>
                <c:pt idx="13">
                  <c:v>417</c:v>
                </c:pt>
                <c:pt idx="14">
                  <c:v>61786</c:v>
                </c:pt>
                <c:pt idx="15">
                  <c:v>720</c:v>
                </c:pt>
                <c:pt idx="16">
                  <c:v>31181</c:v>
                </c:pt>
                <c:pt idx="17">
                  <c:v>21849</c:v>
                </c:pt>
                <c:pt idx="18">
                  <c:v>3489</c:v>
                </c:pt>
                <c:pt idx="19">
                  <c:v>1089</c:v>
                </c:pt>
                <c:pt idx="20">
                  <c:v>4386</c:v>
                </c:pt>
                <c:pt idx="21">
                  <c:v>0</c:v>
                </c:pt>
                <c:pt idx="22">
                  <c:v>3159</c:v>
                </c:pt>
                <c:pt idx="23">
                  <c:v>3677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03-45FE-889D-86CC961D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496144"/>
        <c:axId val="1"/>
      </c:scatterChart>
      <c:valAx>
        <c:axId val="727496144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74961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Members</a:t>
            </a:r>
          </a:p>
        </c:rich>
      </c:tx>
      <c:layout>
        <c:manualLayout>
          <c:xMode val="edge"/>
          <c:yMode val="edge"/>
          <c:x val="0.34877178938392589"/>
          <c:y val="2.54965651714405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076715372079671E-2"/>
          <c:y val="0.17564300451436834"/>
          <c:w val="0.85953237194142873"/>
          <c:h val="0.7110708731146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BD!$C$2:$C$25</c:f>
              <c:numCache>
                <c:formatCode>General</c:formatCode>
                <c:ptCount val="24"/>
                <c:pt idx="0">
                  <c:v>1158</c:v>
                </c:pt>
                <c:pt idx="1">
                  <c:v>39403</c:v>
                </c:pt>
                <c:pt idx="2">
                  <c:v>9128</c:v>
                </c:pt>
                <c:pt idx="3">
                  <c:v>17965</c:v>
                </c:pt>
                <c:pt idx="4">
                  <c:v>16563</c:v>
                </c:pt>
                <c:pt idx="5">
                  <c:v>44862</c:v>
                </c:pt>
                <c:pt idx="6">
                  <c:v>38850</c:v>
                </c:pt>
                <c:pt idx="7">
                  <c:v>33072</c:v>
                </c:pt>
                <c:pt idx="8">
                  <c:v>2132</c:v>
                </c:pt>
                <c:pt idx="9">
                  <c:v>1688</c:v>
                </c:pt>
                <c:pt idx="10">
                  <c:v>11295</c:v>
                </c:pt>
                <c:pt idx="11">
                  <c:v>6382</c:v>
                </c:pt>
                <c:pt idx="12">
                  <c:v>6810</c:v>
                </c:pt>
                <c:pt idx="13">
                  <c:v>2096</c:v>
                </c:pt>
                <c:pt idx="14">
                  <c:v>84086</c:v>
                </c:pt>
                <c:pt idx="15">
                  <c:v>5921</c:v>
                </c:pt>
                <c:pt idx="16">
                  <c:v>108995</c:v>
                </c:pt>
                <c:pt idx="17">
                  <c:v>61118</c:v>
                </c:pt>
                <c:pt idx="18">
                  <c:v>23965</c:v>
                </c:pt>
                <c:pt idx="19">
                  <c:v>23176</c:v>
                </c:pt>
                <c:pt idx="20">
                  <c:v>10069</c:v>
                </c:pt>
                <c:pt idx="21">
                  <c:v>8283</c:v>
                </c:pt>
                <c:pt idx="22">
                  <c:v>9658</c:v>
                </c:pt>
                <c:pt idx="23">
                  <c:v>18717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3C-4A09-A0DB-652583C7B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509456"/>
        <c:axId val="1"/>
      </c:scatterChart>
      <c:valAx>
        <c:axId val="727509456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75094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Photos</a:t>
            </a:r>
          </a:p>
        </c:rich>
      </c:tx>
      <c:layout>
        <c:manualLayout>
          <c:xMode val="edge"/>
          <c:yMode val="edge"/>
          <c:x val="0.36469859318268527"/>
          <c:y val="2.54965651714405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959454782151418E-2"/>
          <c:y val="0.17564300451436834"/>
          <c:w val="0.86471521641505456"/>
          <c:h val="0.7110708731146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BD!$D$2:$D$25</c:f>
              <c:numCache>
                <c:formatCode>General</c:formatCode>
                <c:ptCount val="24"/>
                <c:pt idx="0">
                  <c:v>925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1977</c:v>
                </c:pt>
                <c:pt idx="6">
                  <c:v>6769</c:v>
                </c:pt>
                <c:pt idx="7">
                  <c:v>0</c:v>
                </c:pt>
                <c:pt idx="8">
                  <c:v>371</c:v>
                </c:pt>
                <c:pt idx="9">
                  <c:v>21933</c:v>
                </c:pt>
                <c:pt idx="10">
                  <c:v>420</c:v>
                </c:pt>
                <c:pt idx="11">
                  <c:v>10645</c:v>
                </c:pt>
                <c:pt idx="12">
                  <c:v>3146</c:v>
                </c:pt>
                <c:pt idx="13">
                  <c:v>6</c:v>
                </c:pt>
                <c:pt idx="14">
                  <c:v>8592</c:v>
                </c:pt>
                <c:pt idx="15">
                  <c:v>1038</c:v>
                </c:pt>
                <c:pt idx="16">
                  <c:v>2448</c:v>
                </c:pt>
                <c:pt idx="17">
                  <c:v>1945</c:v>
                </c:pt>
                <c:pt idx="18">
                  <c:v>680</c:v>
                </c:pt>
                <c:pt idx="19">
                  <c:v>20802</c:v>
                </c:pt>
                <c:pt idx="20">
                  <c:v>1157</c:v>
                </c:pt>
                <c:pt idx="21">
                  <c:v>973</c:v>
                </c:pt>
                <c:pt idx="22">
                  <c:v>2592</c:v>
                </c:pt>
                <c:pt idx="23">
                  <c:v>5010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7F-419D-A070-3D02023A8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501552"/>
        <c:axId val="1"/>
      </c:scatterChart>
      <c:valAx>
        <c:axId val="727501552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75015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Discussion board</a:t>
            </a:r>
          </a:p>
        </c:rich>
      </c:tx>
      <c:layout>
        <c:manualLayout>
          <c:xMode val="edge"/>
          <c:yMode val="edge"/>
          <c:x val="0.29422454270302756"/>
          <c:y val="2.55689813335824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076715372079671E-2"/>
          <c:y val="0.1761418714091233"/>
          <c:w val="0.88432657497820066"/>
          <c:h val="0.71024948148840039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BD!$E$2:$E$25</c:f>
              <c:numCache>
                <c:formatCode>General</c:formatCode>
                <c:ptCount val="24"/>
                <c:pt idx="0">
                  <c:v>10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</c:v>
                </c:pt>
                <c:pt idx="7">
                  <c:v>0</c:v>
                </c:pt>
                <c:pt idx="8">
                  <c:v>0</c:v>
                </c:pt>
                <c:pt idx="9">
                  <c:v>48</c:v>
                </c:pt>
                <c:pt idx="10">
                  <c:v>3</c:v>
                </c:pt>
                <c:pt idx="11">
                  <c:v>24</c:v>
                </c:pt>
                <c:pt idx="12">
                  <c:v>5</c:v>
                </c:pt>
                <c:pt idx="13">
                  <c:v>1</c:v>
                </c:pt>
                <c:pt idx="14">
                  <c:v>0</c:v>
                </c:pt>
                <c:pt idx="15">
                  <c:v>4</c:v>
                </c:pt>
                <c:pt idx="16">
                  <c:v>8</c:v>
                </c:pt>
                <c:pt idx="17">
                  <c:v>0</c:v>
                </c:pt>
                <c:pt idx="18">
                  <c:v>8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5</c:v>
                </c:pt>
                <c:pt idx="23">
                  <c:v>1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99-45E1-8FF4-5021AB070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506960"/>
        <c:axId val="1"/>
      </c:scatterChart>
      <c:valAx>
        <c:axId val="727506960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75069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Videos</a:t>
            </a:r>
          </a:p>
        </c:rich>
      </c:tx>
      <c:layout>
        <c:manualLayout>
          <c:xMode val="edge"/>
          <c:yMode val="edge"/>
          <c:x val="0.37129947269730401"/>
          <c:y val="2.55689813335824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959454782151418E-2"/>
          <c:y val="0.1761418714091233"/>
          <c:w val="0.87131609592967341"/>
          <c:h val="0.71024948148840039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BD!$F$2:$F$25</c:f>
              <c:numCache>
                <c:formatCode>General</c:formatCode>
                <c:ptCount val="24"/>
                <c:pt idx="0">
                  <c:v>23</c:v>
                </c:pt>
                <c:pt idx="1">
                  <c:v>0</c:v>
                </c:pt>
                <c:pt idx="2">
                  <c:v>18</c:v>
                </c:pt>
                <c:pt idx="3">
                  <c:v>0</c:v>
                </c:pt>
                <c:pt idx="4">
                  <c:v>1</c:v>
                </c:pt>
                <c:pt idx="5">
                  <c:v>79</c:v>
                </c:pt>
                <c:pt idx="6">
                  <c:v>751</c:v>
                </c:pt>
                <c:pt idx="7">
                  <c:v>0</c:v>
                </c:pt>
                <c:pt idx="8">
                  <c:v>23</c:v>
                </c:pt>
                <c:pt idx="9">
                  <c:v>1305</c:v>
                </c:pt>
                <c:pt idx="10">
                  <c:v>27</c:v>
                </c:pt>
                <c:pt idx="11">
                  <c:v>33</c:v>
                </c:pt>
                <c:pt idx="12">
                  <c:v>83</c:v>
                </c:pt>
                <c:pt idx="13">
                  <c:v>4</c:v>
                </c:pt>
                <c:pt idx="14">
                  <c:v>108</c:v>
                </c:pt>
                <c:pt idx="15">
                  <c:v>113</c:v>
                </c:pt>
                <c:pt idx="16">
                  <c:v>1291</c:v>
                </c:pt>
                <c:pt idx="17">
                  <c:v>43</c:v>
                </c:pt>
                <c:pt idx="18">
                  <c:v>198</c:v>
                </c:pt>
                <c:pt idx="19">
                  <c:v>392</c:v>
                </c:pt>
                <c:pt idx="20">
                  <c:v>50</c:v>
                </c:pt>
                <c:pt idx="21">
                  <c:v>0</c:v>
                </c:pt>
                <c:pt idx="22">
                  <c:v>276</c:v>
                </c:pt>
                <c:pt idx="23">
                  <c:v>226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C-49EC-A245-EC74A3A4D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499472"/>
        <c:axId val="1"/>
      </c:scatterChart>
      <c:valAx>
        <c:axId val="727499472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74994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Links</a:t>
            </a:r>
          </a:p>
        </c:rich>
      </c:tx>
      <c:layout>
        <c:manualLayout>
          <c:xMode val="edge"/>
          <c:yMode val="edge"/>
          <c:x val="0.38398502667083501"/>
          <c:y val="2.55689813335824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788504986286542E-2"/>
          <c:y val="0.1761418714091233"/>
          <c:w val="0.88316556134292046"/>
          <c:h val="0.71024948148840039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BD!$G$2:$G$25</c:f>
              <c:numCache>
                <c:formatCode>General</c:formatCode>
                <c:ptCount val="24"/>
                <c:pt idx="0">
                  <c:v>13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1</c:v>
                </c:pt>
                <c:pt idx="5">
                  <c:v>12</c:v>
                </c:pt>
                <c:pt idx="6">
                  <c:v>6</c:v>
                </c:pt>
                <c:pt idx="7">
                  <c:v>1</c:v>
                </c:pt>
                <c:pt idx="8">
                  <c:v>8</c:v>
                </c:pt>
                <c:pt idx="9">
                  <c:v>4</c:v>
                </c:pt>
                <c:pt idx="10">
                  <c:v>0</c:v>
                </c:pt>
                <c:pt idx="11">
                  <c:v>4</c:v>
                </c:pt>
                <c:pt idx="12">
                  <c:v>9</c:v>
                </c:pt>
                <c:pt idx="13">
                  <c:v>0</c:v>
                </c:pt>
                <c:pt idx="14">
                  <c:v>4</c:v>
                </c:pt>
                <c:pt idx="15">
                  <c:v>9</c:v>
                </c:pt>
                <c:pt idx="16">
                  <c:v>8</c:v>
                </c:pt>
                <c:pt idx="17">
                  <c:v>4</c:v>
                </c:pt>
                <c:pt idx="18">
                  <c:v>6</c:v>
                </c:pt>
                <c:pt idx="19">
                  <c:v>4</c:v>
                </c:pt>
                <c:pt idx="20">
                  <c:v>29</c:v>
                </c:pt>
                <c:pt idx="21">
                  <c:v>0</c:v>
                </c:pt>
                <c:pt idx="22">
                  <c:v>15</c:v>
                </c:pt>
                <c:pt idx="23">
                  <c:v>50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41-422B-8FC3-8708D13A0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501968"/>
        <c:axId val="1"/>
      </c:scatterChart>
      <c:valAx>
        <c:axId val="727501968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75019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Contacts</a:t>
            </a:r>
          </a:p>
        </c:rich>
      </c:tx>
      <c:layout>
        <c:manualLayout>
          <c:xMode val="edge"/>
          <c:yMode val="edge"/>
          <c:x val="0.35442043380295263"/>
          <c:y val="2.55689813335824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549665040032684E-2"/>
          <c:y val="0.1761418714091233"/>
          <c:w val="0.88355516595947337"/>
          <c:h val="0.71024948148840039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BD!$H$2:$H$25</c:f>
              <c:numCache>
                <c:formatCode>General</c:formatCode>
                <c:ptCount val="24"/>
                <c:pt idx="0">
                  <c:v>7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18</c:v>
                </c:pt>
                <c:pt idx="9">
                  <c:v>3</c:v>
                </c:pt>
                <c:pt idx="10">
                  <c:v>5</c:v>
                </c:pt>
                <c:pt idx="11">
                  <c:v>2</c:v>
                </c:pt>
                <c:pt idx="12">
                  <c:v>6</c:v>
                </c:pt>
                <c:pt idx="13">
                  <c:v>1</c:v>
                </c:pt>
                <c:pt idx="14">
                  <c:v>1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10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68-48F0-8421-10ACDDE08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493648"/>
        <c:axId val="1"/>
      </c:scatterChart>
      <c:valAx>
        <c:axId val="727493648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74936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Website</a:t>
            </a:r>
          </a:p>
        </c:rich>
      </c:tx>
      <c:layout>
        <c:manualLayout>
          <c:xMode val="edge"/>
          <c:yMode val="edge"/>
          <c:x val="0.36107621659737421"/>
          <c:y val="2.55689813335824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549665040032684E-2"/>
          <c:y val="0.1761418714091233"/>
          <c:w val="0.88022727456226257"/>
          <c:h val="0.71024948148840039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BD!$I$2:$I$25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90-4925-A13B-71C34F4C5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494064"/>
        <c:axId val="1"/>
      </c:scatterChart>
      <c:valAx>
        <c:axId val="727494064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74940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Description_count</a:t>
            </a:r>
          </a:p>
        </c:rich>
      </c:tx>
      <c:layout>
        <c:manualLayout>
          <c:xMode val="edge"/>
          <c:yMode val="edge"/>
          <c:x val="0.28214551959726575"/>
          <c:y val="2.55689813335824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788504986286542E-2"/>
          <c:y val="0.1761418714091233"/>
          <c:w val="0.87648756087907986"/>
          <c:h val="0.71024948148840039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BD!$J$2:$J$25</c:f>
              <c:numCache>
                <c:formatCode>General</c:formatCode>
                <c:ptCount val="24"/>
                <c:pt idx="0">
                  <c:v>50</c:v>
                </c:pt>
                <c:pt idx="1">
                  <c:v>42</c:v>
                </c:pt>
                <c:pt idx="2">
                  <c:v>75</c:v>
                </c:pt>
                <c:pt idx="3">
                  <c:v>58</c:v>
                </c:pt>
                <c:pt idx="4">
                  <c:v>6</c:v>
                </c:pt>
                <c:pt idx="5">
                  <c:v>58</c:v>
                </c:pt>
                <c:pt idx="6">
                  <c:v>57</c:v>
                </c:pt>
                <c:pt idx="7">
                  <c:v>15</c:v>
                </c:pt>
                <c:pt idx="8">
                  <c:v>89</c:v>
                </c:pt>
                <c:pt idx="9">
                  <c:v>12</c:v>
                </c:pt>
                <c:pt idx="10">
                  <c:v>86</c:v>
                </c:pt>
                <c:pt idx="11">
                  <c:v>61</c:v>
                </c:pt>
                <c:pt idx="12">
                  <c:v>516</c:v>
                </c:pt>
                <c:pt idx="13">
                  <c:v>65</c:v>
                </c:pt>
                <c:pt idx="14">
                  <c:v>13</c:v>
                </c:pt>
                <c:pt idx="15">
                  <c:v>36</c:v>
                </c:pt>
                <c:pt idx="16">
                  <c:v>24</c:v>
                </c:pt>
                <c:pt idx="17">
                  <c:v>43</c:v>
                </c:pt>
                <c:pt idx="18">
                  <c:v>91</c:v>
                </c:pt>
                <c:pt idx="19">
                  <c:v>78</c:v>
                </c:pt>
                <c:pt idx="20">
                  <c:v>58</c:v>
                </c:pt>
                <c:pt idx="21">
                  <c:v>56</c:v>
                </c:pt>
                <c:pt idx="22">
                  <c:v>60</c:v>
                </c:pt>
                <c:pt idx="23">
                  <c:v>38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76-4D6A-9470-6587A4CD2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494896"/>
        <c:axId val="1"/>
      </c:scatterChart>
      <c:valAx>
        <c:axId val="727494896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74948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Records_count</a:t>
            </a:r>
          </a:p>
        </c:rich>
      </c:tx>
      <c:layout>
        <c:manualLayout>
          <c:xMode val="edge"/>
          <c:yMode val="edge"/>
          <c:x val="0.30616600854339571"/>
          <c:y val="2.55689813335824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869393533059746E-2"/>
          <c:y val="0.1761418714091233"/>
          <c:w val="0.85693203478178681"/>
          <c:h val="0.76706944000747235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BD!$K$2:$K$25</c:f>
              <c:numCache>
                <c:formatCode>General</c:formatCode>
                <c:ptCount val="24"/>
                <c:pt idx="0">
                  <c:v>600</c:v>
                </c:pt>
                <c:pt idx="1">
                  <c:v>49580</c:v>
                </c:pt>
                <c:pt idx="2">
                  <c:v>1278</c:v>
                </c:pt>
                <c:pt idx="3">
                  <c:v>776</c:v>
                </c:pt>
                <c:pt idx="4">
                  <c:v>5620</c:v>
                </c:pt>
                <c:pt idx="5">
                  <c:v>13431</c:v>
                </c:pt>
                <c:pt idx="6">
                  <c:v>6419</c:v>
                </c:pt>
                <c:pt idx="7">
                  <c:v>9535</c:v>
                </c:pt>
                <c:pt idx="8">
                  <c:v>1945</c:v>
                </c:pt>
                <c:pt idx="9">
                  <c:v>2710</c:v>
                </c:pt>
                <c:pt idx="10">
                  <c:v>690</c:v>
                </c:pt>
                <c:pt idx="11">
                  <c:v>1197</c:v>
                </c:pt>
                <c:pt idx="12">
                  <c:v>2048</c:v>
                </c:pt>
                <c:pt idx="13">
                  <c:v>791</c:v>
                </c:pt>
                <c:pt idx="14">
                  <c:v>8930</c:v>
                </c:pt>
                <c:pt idx="15">
                  <c:v>814</c:v>
                </c:pt>
                <c:pt idx="16">
                  <c:v>14883</c:v>
                </c:pt>
                <c:pt idx="17">
                  <c:v>2529</c:v>
                </c:pt>
                <c:pt idx="18">
                  <c:v>3434</c:v>
                </c:pt>
                <c:pt idx="19">
                  <c:v>2365</c:v>
                </c:pt>
                <c:pt idx="20">
                  <c:v>1137</c:v>
                </c:pt>
                <c:pt idx="21">
                  <c:v>972</c:v>
                </c:pt>
                <c:pt idx="22">
                  <c:v>3121</c:v>
                </c:pt>
                <c:pt idx="23">
                  <c:v>6073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AC-4836-9637-7507F1CC2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496976"/>
        <c:axId val="1"/>
      </c:scatterChart>
      <c:valAx>
        <c:axId val="727496976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74969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Likes</a:t>
            </a:r>
          </a:p>
        </c:rich>
      </c:tx>
      <c:layout>
        <c:manualLayout>
          <c:xMode val="edge"/>
          <c:yMode val="edge"/>
          <c:x val="0.38437145637785003"/>
          <c:y val="2.54965651714405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549665040032684E-2"/>
          <c:y val="0.17564300451436834"/>
          <c:w val="0.84528441489154904"/>
          <c:h val="0.7110708731146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BD!$L$2:$L$25</c:f>
              <c:numCache>
                <c:formatCode>General</c:formatCode>
                <c:ptCount val="24"/>
                <c:pt idx="0">
                  <c:v>4524</c:v>
                </c:pt>
                <c:pt idx="1">
                  <c:v>681343</c:v>
                </c:pt>
                <c:pt idx="2">
                  <c:v>60391</c:v>
                </c:pt>
                <c:pt idx="3">
                  <c:v>412260</c:v>
                </c:pt>
                <c:pt idx="4">
                  <c:v>77801</c:v>
                </c:pt>
                <c:pt idx="5">
                  <c:v>96234</c:v>
                </c:pt>
                <c:pt idx="6">
                  <c:v>238159</c:v>
                </c:pt>
                <c:pt idx="7">
                  <c:v>1259540</c:v>
                </c:pt>
                <c:pt idx="8">
                  <c:v>10087</c:v>
                </c:pt>
                <c:pt idx="9">
                  <c:v>27243</c:v>
                </c:pt>
                <c:pt idx="10">
                  <c:v>8354</c:v>
                </c:pt>
                <c:pt idx="11">
                  <c:v>40695</c:v>
                </c:pt>
                <c:pt idx="12">
                  <c:v>52110</c:v>
                </c:pt>
                <c:pt idx="13">
                  <c:v>1497</c:v>
                </c:pt>
                <c:pt idx="14">
                  <c:v>8010121</c:v>
                </c:pt>
                <c:pt idx="15">
                  <c:v>20119</c:v>
                </c:pt>
                <c:pt idx="16">
                  <c:v>650184</c:v>
                </c:pt>
                <c:pt idx="17">
                  <c:v>82007</c:v>
                </c:pt>
                <c:pt idx="18">
                  <c:v>40594</c:v>
                </c:pt>
                <c:pt idx="19">
                  <c:v>40156</c:v>
                </c:pt>
                <c:pt idx="20">
                  <c:v>28139</c:v>
                </c:pt>
                <c:pt idx="21">
                  <c:v>837</c:v>
                </c:pt>
                <c:pt idx="22">
                  <c:v>30965</c:v>
                </c:pt>
                <c:pt idx="23">
                  <c:v>106294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2B-4570-9DF7-2AC926314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368384"/>
        <c:axId val="1"/>
      </c:scatterChart>
      <c:valAx>
        <c:axId val="903368384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033683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Success \ Reposts</a:t>
            </a:r>
          </a:p>
        </c:rich>
      </c:tx>
      <c:layout>
        <c:manualLayout>
          <c:xMode val="edge"/>
          <c:yMode val="edge"/>
          <c:x val="0.36199536433687091"/>
          <c:y val="2.55689813335824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076715372079671E-2"/>
          <c:y val="0.1761418714091233"/>
          <c:w val="0.85953237194142873"/>
          <c:h val="0.71024948148840039"/>
        </c:manualLayout>
      </c:layout>
      <c:scatterChart>
        <c:scatterStyle val="lineMarker"/>
        <c:varyColors val="0"/>
        <c:ser>
          <c:idx val="0"/>
          <c:order val="0"/>
          <c:tx>
            <c:strRef>
              <c:f>BD!$O$1</c:f>
              <c:strCache>
                <c:ptCount val="1"/>
                <c:pt idx="0">
                  <c:v>Success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66CC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666699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BD!$N$2:$N$25</c:f>
              <c:numCache>
                <c:formatCode>General</c:formatCode>
                <c:ptCount val="24"/>
                <c:pt idx="0">
                  <c:v>1431</c:v>
                </c:pt>
                <c:pt idx="1">
                  <c:v>69238</c:v>
                </c:pt>
                <c:pt idx="2">
                  <c:v>7669</c:v>
                </c:pt>
                <c:pt idx="3">
                  <c:v>144680</c:v>
                </c:pt>
                <c:pt idx="4">
                  <c:v>42973</c:v>
                </c:pt>
                <c:pt idx="5">
                  <c:v>38855</c:v>
                </c:pt>
                <c:pt idx="6">
                  <c:v>31326</c:v>
                </c:pt>
                <c:pt idx="7">
                  <c:v>55853</c:v>
                </c:pt>
                <c:pt idx="8">
                  <c:v>2505</c:v>
                </c:pt>
                <c:pt idx="9">
                  <c:v>2917</c:v>
                </c:pt>
                <c:pt idx="10">
                  <c:v>3014</c:v>
                </c:pt>
                <c:pt idx="11">
                  <c:v>4970</c:v>
                </c:pt>
                <c:pt idx="12">
                  <c:v>4523</c:v>
                </c:pt>
                <c:pt idx="13">
                  <c:v>209</c:v>
                </c:pt>
                <c:pt idx="14">
                  <c:v>623556</c:v>
                </c:pt>
                <c:pt idx="15">
                  <c:v>1545</c:v>
                </c:pt>
                <c:pt idx="16">
                  <c:v>111023</c:v>
                </c:pt>
                <c:pt idx="17">
                  <c:v>37795</c:v>
                </c:pt>
                <c:pt idx="18">
                  <c:v>12682</c:v>
                </c:pt>
                <c:pt idx="19">
                  <c:v>7512</c:v>
                </c:pt>
                <c:pt idx="20">
                  <c:v>9580</c:v>
                </c:pt>
                <c:pt idx="21">
                  <c:v>148</c:v>
                </c:pt>
                <c:pt idx="22">
                  <c:v>9040</c:v>
                </c:pt>
                <c:pt idx="23">
                  <c:v>24663</c:v>
                </c:pt>
              </c:numCache>
            </c:numRef>
          </c:xVal>
          <c:yVal>
            <c:numRef>
              <c:f>BD!$O$2:$O$25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4F-40E2-A375-99FA2C042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357152"/>
        <c:axId val="1"/>
      </c:scatterChart>
      <c:valAx>
        <c:axId val="903357152"/>
        <c:scaling>
          <c:orientation val="minMax"/>
        </c:scaling>
        <c:delete val="0"/>
        <c:axPos val="b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033571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1219200</xdr:colOff>
      <xdr:row>0</xdr:row>
      <xdr:rowOff>0</xdr:rowOff>
    </xdr:from>
    <xdr:to>
      <xdr:col>23</xdr:col>
      <xdr:colOff>327660</xdr:colOff>
      <xdr:row>14</xdr:row>
      <xdr:rowOff>129540</xdr:rowOff>
    </xdr:to>
    <xdr:graphicFrame macro="">
      <xdr:nvGraphicFramePr>
        <xdr:cNvPr id="1116" name="????????? 1">
          <a:extLst>
            <a:ext uri="{FF2B5EF4-FFF2-40B4-BE49-F238E27FC236}">
              <a16:creationId xmlns:a16="http://schemas.microsoft.com/office/drawing/2014/main" id="{D411DD0C-E40A-4E9F-A79A-6A7360B6A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342900</xdr:colOff>
      <xdr:row>0</xdr:row>
      <xdr:rowOff>0</xdr:rowOff>
    </xdr:from>
    <xdr:to>
      <xdr:col>31</xdr:col>
      <xdr:colOff>83820</xdr:colOff>
      <xdr:row>14</xdr:row>
      <xdr:rowOff>129540</xdr:rowOff>
    </xdr:to>
    <xdr:graphicFrame macro="">
      <xdr:nvGraphicFramePr>
        <xdr:cNvPr id="1117" name="????????? 2">
          <a:extLst>
            <a:ext uri="{FF2B5EF4-FFF2-40B4-BE49-F238E27FC236}">
              <a16:creationId xmlns:a16="http://schemas.microsoft.com/office/drawing/2014/main" id="{C65C1E24-DB44-41CB-A15C-3B4D73F807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15240</xdr:colOff>
      <xdr:row>14</xdr:row>
      <xdr:rowOff>137160</xdr:rowOff>
    </xdr:from>
    <xdr:to>
      <xdr:col>23</xdr:col>
      <xdr:colOff>358140</xdr:colOff>
      <xdr:row>28</xdr:row>
      <xdr:rowOff>7620</xdr:rowOff>
    </xdr:to>
    <xdr:graphicFrame macro="">
      <xdr:nvGraphicFramePr>
        <xdr:cNvPr id="1118" name="????????? 3">
          <a:extLst>
            <a:ext uri="{FF2B5EF4-FFF2-40B4-BE49-F238E27FC236}">
              <a16:creationId xmlns:a16="http://schemas.microsoft.com/office/drawing/2014/main" id="{D36E5B0E-51AF-4FA7-9300-B7A42A141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373380</xdr:colOff>
      <xdr:row>14</xdr:row>
      <xdr:rowOff>137160</xdr:rowOff>
    </xdr:from>
    <xdr:to>
      <xdr:col>31</xdr:col>
      <xdr:colOff>114300</xdr:colOff>
      <xdr:row>28</xdr:row>
      <xdr:rowOff>7620</xdr:rowOff>
    </xdr:to>
    <xdr:graphicFrame macro="">
      <xdr:nvGraphicFramePr>
        <xdr:cNvPr id="1119" name="????????? 4">
          <a:extLst>
            <a:ext uri="{FF2B5EF4-FFF2-40B4-BE49-F238E27FC236}">
              <a16:creationId xmlns:a16="http://schemas.microsoft.com/office/drawing/2014/main" id="{005A3322-CC75-411B-A51A-F8EB29798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15240</xdr:colOff>
      <xdr:row>27</xdr:row>
      <xdr:rowOff>167640</xdr:rowOff>
    </xdr:from>
    <xdr:to>
      <xdr:col>23</xdr:col>
      <xdr:colOff>358140</xdr:colOff>
      <xdr:row>42</xdr:row>
      <xdr:rowOff>106680</xdr:rowOff>
    </xdr:to>
    <xdr:graphicFrame macro="">
      <xdr:nvGraphicFramePr>
        <xdr:cNvPr id="1120" name="????????? 5">
          <a:extLst>
            <a:ext uri="{FF2B5EF4-FFF2-40B4-BE49-F238E27FC236}">
              <a16:creationId xmlns:a16="http://schemas.microsoft.com/office/drawing/2014/main" id="{CC24CA0F-CC0F-4451-B612-BB8BDA10B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373380</xdr:colOff>
      <xdr:row>27</xdr:row>
      <xdr:rowOff>182880</xdr:rowOff>
    </xdr:from>
    <xdr:to>
      <xdr:col>31</xdr:col>
      <xdr:colOff>114300</xdr:colOff>
      <xdr:row>42</xdr:row>
      <xdr:rowOff>121920</xdr:rowOff>
    </xdr:to>
    <xdr:graphicFrame macro="">
      <xdr:nvGraphicFramePr>
        <xdr:cNvPr id="1121" name="????????? 6">
          <a:extLst>
            <a:ext uri="{FF2B5EF4-FFF2-40B4-BE49-F238E27FC236}">
              <a16:creationId xmlns:a16="http://schemas.microsoft.com/office/drawing/2014/main" id="{33F4EB05-FAE6-4771-AA86-138639580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26</xdr:row>
      <xdr:rowOff>137160</xdr:rowOff>
    </xdr:from>
    <xdr:to>
      <xdr:col>3</xdr:col>
      <xdr:colOff>68580</xdr:colOff>
      <xdr:row>41</xdr:row>
      <xdr:rowOff>76200</xdr:rowOff>
    </xdr:to>
    <xdr:graphicFrame macro="">
      <xdr:nvGraphicFramePr>
        <xdr:cNvPr id="1122" name="????????? 7">
          <a:extLst>
            <a:ext uri="{FF2B5EF4-FFF2-40B4-BE49-F238E27FC236}">
              <a16:creationId xmlns:a16="http://schemas.microsoft.com/office/drawing/2014/main" id="{60B780AC-F453-4C76-947D-455287A56F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83820</xdr:colOff>
      <xdr:row>26</xdr:row>
      <xdr:rowOff>121920</xdr:rowOff>
    </xdr:from>
    <xdr:to>
      <xdr:col>9</xdr:col>
      <xdr:colOff>160020</xdr:colOff>
      <xdr:row>41</xdr:row>
      <xdr:rowOff>60960</xdr:rowOff>
    </xdr:to>
    <xdr:graphicFrame macro="">
      <xdr:nvGraphicFramePr>
        <xdr:cNvPr id="1123" name="????????? 8">
          <a:extLst>
            <a:ext uri="{FF2B5EF4-FFF2-40B4-BE49-F238E27FC236}">
              <a16:creationId xmlns:a16="http://schemas.microsoft.com/office/drawing/2014/main" id="{47A0D135-B9E6-490C-A1BB-D218B06884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190500</xdr:colOff>
      <xdr:row>26</xdr:row>
      <xdr:rowOff>137160</xdr:rowOff>
    </xdr:from>
    <xdr:to>
      <xdr:col>13</xdr:col>
      <xdr:colOff>731520</xdr:colOff>
      <xdr:row>41</xdr:row>
      <xdr:rowOff>76200</xdr:rowOff>
    </xdr:to>
    <xdr:graphicFrame macro="">
      <xdr:nvGraphicFramePr>
        <xdr:cNvPr id="1124" name="????????? 9">
          <a:extLst>
            <a:ext uri="{FF2B5EF4-FFF2-40B4-BE49-F238E27FC236}">
              <a16:creationId xmlns:a16="http://schemas.microsoft.com/office/drawing/2014/main" id="{855A08C0-705A-4FA9-BEDE-ABEFB2EA2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15240</xdr:colOff>
      <xdr:row>41</xdr:row>
      <xdr:rowOff>68580</xdr:rowOff>
    </xdr:from>
    <xdr:to>
      <xdr:col>3</xdr:col>
      <xdr:colOff>83820</xdr:colOff>
      <xdr:row>56</xdr:row>
      <xdr:rowOff>7620</xdr:rowOff>
    </xdr:to>
    <xdr:graphicFrame macro="">
      <xdr:nvGraphicFramePr>
        <xdr:cNvPr id="1125" name="????????? 10">
          <a:extLst>
            <a:ext uri="{FF2B5EF4-FFF2-40B4-BE49-F238E27FC236}">
              <a16:creationId xmlns:a16="http://schemas.microsoft.com/office/drawing/2014/main" id="{61DF7D6A-0E1A-4877-83DB-E6613FC105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83820</xdr:colOff>
      <xdr:row>41</xdr:row>
      <xdr:rowOff>53340</xdr:rowOff>
    </xdr:from>
    <xdr:to>
      <xdr:col>9</xdr:col>
      <xdr:colOff>160020</xdr:colOff>
      <xdr:row>55</xdr:row>
      <xdr:rowOff>175260</xdr:rowOff>
    </xdr:to>
    <xdr:graphicFrame macro="">
      <xdr:nvGraphicFramePr>
        <xdr:cNvPr id="1126" name="????????? 11">
          <a:extLst>
            <a:ext uri="{FF2B5EF4-FFF2-40B4-BE49-F238E27FC236}">
              <a16:creationId xmlns:a16="http://schemas.microsoft.com/office/drawing/2014/main" id="{E0E222B0-E789-471B-A04E-660B786A8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160020</xdr:colOff>
      <xdr:row>41</xdr:row>
      <xdr:rowOff>38100</xdr:rowOff>
    </xdr:from>
    <xdr:to>
      <xdr:col>13</xdr:col>
      <xdr:colOff>701040</xdr:colOff>
      <xdr:row>55</xdr:row>
      <xdr:rowOff>167640</xdr:rowOff>
    </xdr:to>
    <xdr:graphicFrame macro="">
      <xdr:nvGraphicFramePr>
        <xdr:cNvPr id="1127" name="????????? 12">
          <a:extLst>
            <a:ext uri="{FF2B5EF4-FFF2-40B4-BE49-F238E27FC236}">
              <a16:creationId xmlns:a16="http://schemas.microsoft.com/office/drawing/2014/main" id="{57F2742F-ACD9-4D86-A050-F76211710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15240</xdr:colOff>
      <xdr:row>42</xdr:row>
      <xdr:rowOff>68580</xdr:rowOff>
    </xdr:from>
    <xdr:to>
      <xdr:col>23</xdr:col>
      <xdr:colOff>358140</xdr:colOff>
      <xdr:row>57</xdr:row>
      <xdr:rowOff>7620</xdr:rowOff>
    </xdr:to>
    <xdr:graphicFrame macro="">
      <xdr:nvGraphicFramePr>
        <xdr:cNvPr id="1128" name="????????? 13">
          <a:extLst>
            <a:ext uri="{FF2B5EF4-FFF2-40B4-BE49-F238E27FC236}">
              <a16:creationId xmlns:a16="http://schemas.microsoft.com/office/drawing/2014/main" id="{D064D929-D77E-4C57-9EBF-7BEFC81A2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"/>
  <sheetViews>
    <sheetView tabSelected="1" workbookViewId="0">
      <selection activeCell="L5" sqref="L5"/>
    </sheetView>
  </sheetViews>
  <sheetFormatPr defaultRowHeight="14.4" x14ac:dyDescent="0.3"/>
  <cols>
    <col min="1" max="1" width="19" customWidth="1"/>
    <col min="2" max="2" width="10.33203125" customWidth="1"/>
  </cols>
  <sheetData>
    <row r="1" spans="1:15" x14ac:dyDescent="0.3">
      <c r="A1" s="4"/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</row>
    <row r="2" spans="1:15" x14ac:dyDescent="0.3">
      <c r="A2" s="5" t="s">
        <v>0</v>
      </c>
      <c r="B2" s="5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3">
      <c r="A3" s="5" t="s">
        <v>1</v>
      </c>
      <c r="B3" s="8">
        <v>7.07591030612197E-2</v>
      </c>
      <c r="C3" s="5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3">
      <c r="A4" s="5" t="s">
        <v>2</v>
      </c>
      <c r="B4" s="8">
        <v>0.10571192342987007</v>
      </c>
      <c r="C4" s="8">
        <v>1.5123985733838266E-3</v>
      </c>
      <c r="D4" s="5">
        <v>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3">
      <c r="A5" s="5" t="s">
        <v>3</v>
      </c>
      <c r="B5" s="8">
        <v>-1.1977718169293555E-2</v>
      </c>
      <c r="C5" s="8">
        <v>-0.13907771168707048</v>
      </c>
      <c r="D5" s="8">
        <v>0.62079171009015488</v>
      </c>
      <c r="E5" s="5">
        <v>1</v>
      </c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3">
      <c r="A6" s="5" t="s">
        <v>4</v>
      </c>
      <c r="B6" s="8">
        <v>0.15354978640392339</v>
      </c>
      <c r="C6" s="8">
        <v>0.37049952430553701</v>
      </c>
      <c r="D6" s="8">
        <v>0.56472404181297553</v>
      </c>
      <c r="E6" s="8">
        <v>0.68347873060509989</v>
      </c>
      <c r="F6" s="5">
        <v>1</v>
      </c>
      <c r="G6" s="3"/>
      <c r="H6" s="3"/>
      <c r="I6" s="3"/>
      <c r="J6" s="3"/>
      <c r="K6" s="3"/>
      <c r="L6" s="3"/>
      <c r="M6" s="3"/>
      <c r="N6" s="3"/>
      <c r="O6" s="3"/>
    </row>
    <row r="7" spans="1:15" x14ac:dyDescent="0.3">
      <c r="A7" s="5" t="s">
        <v>5</v>
      </c>
      <c r="B7" s="8">
        <v>0.67327738789282376</v>
      </c>
      <c r="C7" s="8">
        <v>-7.8994017011314949E-2</v>
      </c>
      <c r="D7" s="8">
        <v>-1.7785008070613506E-2</v>
      </c>
      <c r="E7" s="8">
        <v>-9.2534871600759086E-2</v>
      </c>
      <c r="F7" s="8">
        <v>2.690654442693469E-2</v>
      </c>
      <c r="G7" s="5">
        <v>1</v>
      </c>
      <c r="H7" s="3"/>
      <c r="I7" s="3"/>
      <c r="J7" s="3"/>
      <c r="K7" s="3"/>
      <c r="L7" s="3"/>
      <c r="M7" s="3"/>
      <c r="N7" s="3"/>
      <c r="O7" s="3"/>
    </row>
    <row r="8" spans="1:15" x14ac:dyDescent="0.3">
      <c r="A8" s="5" t="s">
        <v>6</v>
      </c>
      <c r="B8" s="8">
        <v>-6.2630263837612374E-2</v>
      </c>
      <c r="C8" s="8">
        <v>-0.37653416818919916</v>
      </c>
      <c r="D8" s="8">
        <v>-0.21665428247126958</v>
      </c>
      <c r="E8" s="8">
        <v>-8.4004973968999849E-2</v>
      </c>
      <c r="F8" s="8">
        <v>-0.20602709417251047</v>
      </c>
      <c r="G8" s="8">
        <v>0.11867092708193082</v>
      </c>
      <c r="H8" s="5">
        <v>1</v>
      </c>
      <c r="I8" s="3"/>
      <c r="J8" s="3"/>
      <c r="K8" s="3"/>
      <c r="L8" s="3"/>
      <c r="M8" s="3"/>
      <c r="N8" s="3"/>
      <c r="O8" s="3"/>
    </row>
    <row r="9" spans="1:15" x14ac:dyDescent="0.3">
      <c r="A9" s="5" t="s">
        <v>7</v>
      </c>
      <c r="B9" s="8">
        <v>0.4429635444636239</v>
      </c>
      <c r="C9" s="8">
        <v>7.1372406234759142E-2</v>
      </c>
      <c r="D9" s="8">
        <v>0.24142921350979504</v>
      </c>
      <c r="E9" s="8">
        <v>0.24802982712482682</v>
      </c>
      <c r="F9" s="8">
        <v>0.43842107690665938</v>
      </c>
      <c r="G9" s="8">
        <v>0.47748639209660915</v>
      </c>
      <c r="H9" s="8">
        <v>-6.7274025607262686E-2</v>
      </c>
      <c r="I9" s="5">
        <v>1</v>
      </c>
      <c r="J9" s="3"/>
      <c r="K9" s="3"/>
      <c r="L9" s="3"/>
      <c r="M9" s="3"/>
      <c r="N9" s="3"/>
      <c r="O9" s="3"/>
    </row>
    <row r="10" spans="1:15" x14ac:dyDescent="0.3">
      <c r="A10" s="5" t="s">
        <v>8</v>
      </c>
      <c r="B10" s="8">
        <v>0.40678666792258855</v>
      </c>
      <c r="C10" s="8">
        <v>-0.22999951963146389</v>
      </c>
      <c r="D10" s="8">
        <v>-6.0329324974927871E-2</v>
      </c>
      <c r="E10" s="8">
        <v>-6.8654571307428747E-2</v>
      </c>
      <c r="F10" s="8">
        <v>-0.14724661905700509</v>
      </c>
      <c r="G10" s="8">
        <v>9.5361149733679002E-3</v>
      </c>
      <c r="H10" s="8">
        <v>0.22706532224567533</v>
      </c>
      <c r="I10" s="8">
        <v>0.18663957780860879</v>
      </c>
      <c r="J10" s="5">
        <v>1</v>
      </c>
      <c r="K10" s="3"/>
      <c r="L10" s="3"/>
      <c r="M10" s="3"/>
      <c r="N10" s="3"/>
      <c r="O10" s="3"/>
    </row>
    <row r="11" spans="1:15" x14ac:dyDescent="0.3">
      <c r="A11" s="5" t="s">
        <v>9</v>
      </c>
      <c r="B11" s="8">
        <v>4.2757138016034528E-2</v>
      </c>
      <c r="C11" s="8">
        <v>0.41867070059759859</v>
      </c>
      <c r="D11" s="8">
        <v>-0.12282879267421302</v>
      </c>
      <c r="E11" s="8">
        <v>-0.10868720290487015</v>
      </c>
      <c r="F11" s="8">
        <v>5.0282336001643321E-2</v>
      </c>
      <c r="G11" s="8">
        <v>-5.3142735139469016E-2</v>
      </c>
      <c r="H11" s="8">
        <v>-0.18489258067874911</v>
      </c>
      <c r="I11" s="8">
        <v>-0.18145411012887541</v>
      </c>
      <c r="J11" s="8">
        <v>-0.14133311161528642</v>
      </c>
      <c r="K11" s="5">
        <v>1</v>
      </c>
      <c r="L11" s="3"/>
      <c r="M11" s="3"/>
      <c r="N11" s="3"/>
      <c r="O11" s="3"/>
    </row>
    <row r="12" spans="1:15" x14ac:dyDescent="0.3">
      <c r="A12" s="5" t="s">
        <v>10</v>
      </c>
      <c r="B12" s="8">
        <v>-0.13549360589879797</v>
      </c>
      <c r="C12" s="8">
        <v>0.5404004571830443</v>
      </c>
      <c r="D12" s="8">
        <v>0.12885231231643032</v>
      </c>
      <c r="E12" s="8">
        <v>-0.13544992028712755</v>
      </c>
      <c r="F12" s="8">
        <v>-3.7035736868591435E-2</v>
      </c>
      <c r="G12" s="8">
        <v>-0.11172116527761673</v>
      </c>
      <c r="H12" s="8">
        <v>-0.14928156431547573</v>
      </c>
      <c r="I12" s="8">
        <v>-0.29231885565126542</v>
      </c>
      <c r="J12" s="8">
        <v>-0.15709324632949831</v>
      </c>
      <c r="K12" s="8">
        <v>0.16268457497011476</v>
      </c>
      <c r="L12" s="5">
        <v>1</v>
      </c>
      <c r="M12" s="3"/>
      <c r="N12" s="3"/>
      <c r="O12" s="3"/>
    </row>
    <row r="13" spans="1:15" x14ac:dyDescent="0.3">
      <c r="A13" s="5" t="s">
        <v>11</v>
      </c>
      <c r="B13" s="8">
        <v>-0.18054165380839521</v>
      </c>
      <c r="C13" s="8">
        <v>0.20148623558716566</v>
      </c>
      <c r="D13" s="8">
        <v>-0.1590120495088469</v>
      </c>
      <c r="E13" s="8">
        <v>-0.13769904538771147</v>
      </c>
      <c r="F13" s="8">
        <v>-0.11697143490349025</v>
      </c>
      <c r="G13" s="8">
        <v>-0.13187395026151921</v>
      </c>
      <c r="H13" s="8">
        <v>-7.1101753587558339E-2</v>
      </c>
      <c r="I13" s="8">
        <v>-0.17668296064317168</v>
      </c>
      <c r="J13" s="8">
        <v>-9.3655744286733331E-2</v>
      </c>
      <c r="K13" s="8">
        <v>0.83089346679198106</v>
      </c>
      <c r="L13" s="8">
        <v>0.15801639011073781</v>
      </c>
      <c r="M13" s="5">
        <v>1</v>
      </c>
      <c r="N13" s="3"/>
      <c r="O13" s="3"/>
    </row>
    <row r="14" spans="1:15" x14ac:dyDescent="0.3">
      <c r="A14" s="5" t="s">
        <v>12</v>
      </c>
      <c r="B14" s="8">
        <v>-0.11591877636694768</v>
      </c>
      <c r="C14" s="8">
        <v>0.60639603094469519</v>
      </c>
      <c r="D14" s="8">
        <v>9.4989030277883427E-2</v>
      </c>
      <c r="E14" s="8">
        <v>-0.16042092948578968</v>
      </c>
      <c r="F14" s="8">
        <v>-4.0567180675592715E-3</v>
      </c>
      <c r="G14" s="8">
        <v>-0.11755035588002344</v>
      </c>
      <c r="H14" s="8">
        <v>-0.20780824518918006</v>
      </c>
      <c r="I14" s="8">
        <v>-0.29003835598466687</v>
      </c>
      <c r="J14" s="8">
        <v>-0.17862663953022778</v>
      </c>
      <c r="K14" s="8">
        <v>0.17938564198549264</v>
      </c>
      <c r="L14" s="8">
        <v>0.97541862337970497</v>
      </c>
      <c r="M14" s="8">
        <v>0.16062296219875416</v>
      </c>
      <c r="N14" s="5">
        <v>1</v>
      </c>
      <c r="O14" s="3"/>
    </row>
    <row r="15" spans="1:15" ht="15" thickBot="1" x14ac:dyDescent="0.35">
      <c r="A15" s="6" t="s">
        <v>13</v>
      </c>
      <c r="B15" s="9">
        <v>-0.20831985767135963</v>
      </c>
      <c r="C15" s="9">
        <v>-9.3124319450516302E-2</v>
      </c>
      <c r="D15" s="9">
        <v>0.30945279632416561</v>
      </c>
      <c r="E15" s="9">
        <v>0.39905100155837603</v>
      </c>
      <c r="F15" s="9">
        <v>5.9197731729908713E-2</v>
      </c>
      <c r="G15" s="9">
        <v>-0.16130042476581213</v>
      </c>
      <c r="H15" s="9">
        <v>-3.6281769906606573E-2</v>
      </c>
      <c r="I15" s="9">
        <v>-9.7590007294853259E-2</v>
      </c>
      <c r="J15" s="9">
        <v>-0.15316939193645404</v>
      </c>
      <c r="K15" s="9">
        <v>-0.19102185198045332</v>
      </c>
      <c r="L15" s="9">
        <v>0.33579745411016332</v>
      </c>
      <c r="M15" s="9">
        <v>8.7224172519222848E-2</v>
      </c>
      <c r="N15" s="9">
        <v>0.36579703914549916</v>
      </c>
      <c r="O15" s="6">
        <v>1</v>
      </c>
    </row>
  </sheetData>
  <pageMargins left="0.7" right="0.7" top="0.75" bottom="0.75" header="0.3" footer="0.3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3"/>
  <sheetViews>
    <sheetView zoomScale="42" workbookViewId="0">
      <selection activeCell="A7" sqref="A7"/>
    </sheetView>
  </sheetViews>
  <sheetFormatPr defaultRowHeight="14.4" x14ac:dyDescent="0.3"/>
  <cols>
    <col min="1" max="1" width="45" customWidth="1"/>
    <col min="2" max="2" width="9.44140625" customWidth="1"/>
    <col min="3" max="3" width="11.109375" customWidth="1"/>
    <col min="4" max="4" width="9.44140625" customWidth="1"/>
    <col min="5" max="5" width="18.44140625" customWidth="1"/>
    <col min="6" max="9" width="9.44140625" customWidth="1"/>
    <col min="10" max="10" width="18.109375" customWidth="1"/>
    <col min="11" max="11" width="18.33203125" customWidth="1"/>
    <col min="12" max="12" width="11.33203125" customWidth="1"/>
    <col min="13" max="13" width="11.109375" customWidth="1"/>
    <col min="14" max="14" width="11.6640625" customWidth="1"/>
    <col min="15" max="15" width="10.33203125" customWidth="1"/>
    <col min="16" max="16" width="18.109375" customWidth="1"/>
  </cols>
  <sheetData>
    <row r="1" spans="1:16" x14ac:dyDescent="0.3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25</v>
      </c>
      <c r="M1" s="1" t="s">
        <v>26</v>
      </c>
      <c r="N1" s="1" t="s">
        <v>27</v>
      </c>
      <c r="O1" s="1" t="s">
        <v>28</v>
      </c>
      <c r="P1" s="1" t="s">
        <v>29</v>
      </c>
    </row>
    <row r="2" spans="1:16" x14ac:dyDescent="0.3">
      <c r="A2" s="10" t="s">
        <v>33</v>
      </c>
      <c r="B2">
        <v>5</v>
      </c>
      <c r="C2">
        <v>1158</v>
      </c>
      <c r="D2">
        <v>925</v>
      </c>
      <c r="E2">
        <v>10</v>
      </c>
      <c r="F2">
        <v>23</v>
      </c>
      <c r="G2">
        <v>13</v>
      </c>
      <c r="H2">
        <v>7</v>
      </c>
      <c r="I2">
        <v>1</v>
      </c>
      <c r="J2">
        <v>50</v>
      </c>
      <c r="K2">
        <v>600</v>
      </c>
      <c r="L2">
        <v>4524</v>
      </c>
      <c r="M2">
        <v>534</v>
      </c>
      <c r="N2">
        <v>1431</v>
      </c>
      <c r="O2">
        <f>IF(((((L2+M2+N2)/K2)/C2) * 100)+0&gt;$P$2,1,0)</f>
        <v>1</v>
      </c>
      <c r="P2">
        <f>0.35</f>
        <v>0.35</v>
      </c>
    </row>
    <row r="3" spans="1:16" x14ac:dyDescent="0.3">
      <c r="A3" s="10" t="s">
        <v>34</v>
      </c>
      <c r="B3">
        <v>0</v>
      </c>
      <c r="C3">
        <v>39403</v>
      </c>
      <c r="D3">
        <v>0</v>
      </c>
      <c r="E3">
        <v>1</v>
      </c>
      <c r="F3">
        <v>0</v>
      </c>
      <c r="G3">
        <v>3</v>
      </c>
      <c r="H3">
        <v>2</v>
      </c>
      <c r="I3">
        <v>0</v>
      </c>
      <c r="J3">
        <v>42</v>
      </c>
      <c r="K3">
        <v>49580</v>
      </c>
      <c r="L3">
        <v>681343</v>
      </c>
      <c r="M3">
        <v>334725</v>
      </c>
      <c r="N3">
        <v>69238</v>
      </c>
      <c r="O3">
        <f t="shared" ref="O3:O25" si="0">IF(((((L3+M3+N3)/K3)/C3) * 100)+0&gt;$P$2,1,0)</f>
        <v>0</v>
      </c>
    </row>
    <row r="4" spans="1:16" x14ac:dyDescent="0.3">
      <c r="A4" s="10" t="s">
        <v>35</v>
      </c>
      <c r="B4">
        <v>0</v>
      </c>
      <c r="C4">
        <v>9128</v>
      </c>
      <c r="D4">
        <v>0</v>
      </c>
      <c r="E4">
        <v>2</v>
      </c>
      <c r="F4">
        <v>18</v>
      </c>
      <c r="G4">
        <v>6</v>
      </c>
      <c r="H4">
        <v>4</v>
      </c>
      <c r="I4">
        <v>1</v>
      </c>
      <c r="J4">
        <v>75</v>
      </c>
      <c r="K4">
        <v>1278</v>
      </c>
      <c r="L4">
        <v>60391</v>
      </c>
      <c r="M4">
        <v>157541</v>
      </c>
      <c r="N4">
        <v>7669</v>
      </c>
      <c r="O4">
        <f t="shared" si="0"/>
        <v>1</v>
      </c>
    </row>
    <row r="5" spans="1:16" x14ac:dyDescent="0.3">
      <c r="A5" s="10" t="s">
        <v>36</v>
      </c>
      <c r="B5">
        <v>0</v>
      </c>
      <c r="C5">
        <v>17965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58</v>
      </c>
      <c r="K5">
        <v>776</v>
      </c>
      <c r="L5">
        <v>412260</v>
      </c>
      <c r="M5">
        <v>5187</v>
      </c>
      <c r="N5">
        <v>144680</v>
      </c>
      <c r="O5">
        <f t="shared" si="0"/>
        <v>1</v>
      </c>
    </row>
    <row r="6" spans="1:16" x14ac:dyDescent="0.3">
      <c r="A6" s="10" t="s">
        <v>37</v>
      </c>
      <c r="B6">
        <v>0</v>
      </c>
      <c r="C6">
        <v>16563</v>
      </c>
      <c r="D6">
        <v>0</v>
      </c>
      <c r="E6">
        <v>0</v>
      </c>
      <c r="F6">
        <v>1</v>
      </c>
      <c r="G6">
        <v>1</v>
      </c>
      <c r="H6">
        <v>1</v>
      </c>
      <c r="I6">
        <v>0</v>
      </c>
      <c r="J6">
        <v>6</v>
      </c>
      <c r="K6">
        <v>5620</v>
      </c>
      <c r="L6">
        <v>77801</v>
      </c>
      <c r="M6">
        <v>16248</v>
      </c>
      <c r="N6">
        <v>42973</v>
      </c>
      <c r="O6">
        <f t="shared" si="0"/>
        <v>0</v>
      </c>
    </row>
    <row r="7" spans="1:16" x14ac:dyDescent="0.3">
      <c r="A7" s="10" t="s">
        <v>38</v>
      </c>
      <c r="B7">
        <v>142</v>
      </c>
      <c r="C7">
        <v>44862</v>
      </c>
      <c r="D7">
        <v>1977</v>
      </c>
      <c r="E7">
        <v>0</v>
      </c>
      <c r="F7">
        <v>79</v>
      </c>
      <c r="G7">
        <v>12</v>
      </c>
      <c r="H7">
        <v>1</v>
      </c>
      <c r="I7">
        <v>1</v>
      </c>
      <c r="J7">
        <v>58</v>
      </c>
      <c r="K7">
        <v>13431</v>
      </c>
      <c r="L7">
        <v>96234</v>
      </c>
      <c r="M7">
        <v>2026</v>
      </c>
      <c r="N7">
        <v>38855</v>
      </c>
      <c r="O7">
        <f t="shared" si="0"/>
        <v>0</v>
      </c>
    </row>
    <row r="8" spans="1:16" x14ac:dyDescent="0.3">
      <c r="A8" s="10" t="s">
        <v>39</v>
      </c>
      <c r="B8">
        <v>0</v>
      </c>
      <c r="C8">
        <v>38850</v>
      </c>
      <c r="D8">
        <v>6769</v>
      </c>
      <c r="E8">
        <v>28</v>
      </c>
      <c r="F8">
        <v>751</v>
      </c>
      <c r="G8">
        <v>6</v>
      </c>
      <c r="H8">
        <v>0</v>
      </c>
      <c r="I8">
        <v>1</v>
      </c>
      <c r="J8">
        <v>57</v>
      </c>
      <c r="K8">
        <v>6419</v>
      </c>
      <c r="L8">
        <v>238159</v>
      </c>
      <c r="M8">
        <v>5426</v>
      </c>
      <c r="N8">
        <v>31326</v>
      </c>
      <c r="O8">
        <f t="shared" si="0"/>
        <v>0</v>
      </c>
    </row>
    <row r="9" spans="1:16" x14ac:dyDescent="0.3">
      <c r="A9" s="10" t="s">
        <v>40</v>
      </c>
      <c r="B9">
        <v>0</v>
      </c>
      <c r="C9">
        <v>33072</v>
      </c>
      <c r="D9">
        <v>0</v>
      </c>
      <c r="E9">
        <v>0</v>
      </c>
      <c r="F9">
        <v>0</v>
      </c>
      <c r="G9">
        <v>1</v>
      </c>
      <c r="H9">
        <v>2</v>
      </c>
      <c r="I9">
        <v>0</v>
      </c>
      <c r="J9">
        <v>15</v>
      </c>
      <c r="K9">
        <v>9535</v>
      </c>
      <c r="L9">
        <v>1259540</v>
      </c>
      <c r="M9">
        <v>8666</v>
      </c>
      <c r="N9">
        <v>55853</v>
      </c>
      <c r="O9">
        <f t="shared" si="0"/>
        <v>1</v>
      </c>
    </row>
    <row r="10" spans="1:16" x14ac:dyDescent="0.3">
      <c r="A10" s="10" t="s">
        <v>41</v>
      </c>
      <c r="B10">
        <v>8</v>
      </c>
      <c r="C10">
        <v>2132</v>
      </c>
      <c r="D10">
        <v>371</v>
      </c>
      <c r="E10">
        <v>0</v>
      </c>
      <c r="F10">
        <v>23</v>
      </c>
      <c r="G10">
        <v>8</v>
      </c>
      <c r="H10">
        <v>18</v>
      </c>
      <c r="I10">
        <v>0</v>
      </c>
      <c r="J10">
        <v>89</v>
      </c>
      <c r="K10">
        <v>1945</v>
      </c>
      <c r="L10">
        <v>10087</v>
      </c>
      <c r="M10">
        <v>2688</v>
      </c>
      <c r="N10">
        <v>2505</v>
      </c>
      <c r="O10">
        <f t="shared" si="0"/>
        <v>1</v>
      </c>
    </row>
    <row r="11" spans="1:16" x14ac:dyDescent="0.3">
      <c r="A11" s="10" t="s">
        <v>30</v>
      </c>
      <c r="B11">
        <v>42</v>
      </c>
      <c r="C11">
        <v>1688</v>
      </c>
      <c r="D11">
        <v>21933</v>
      </c>
      <c r="E11">
        <v>48</v>
      </c>
      <c r="F11">
        <v>1305</v>
      </c>
      <c r="G11">
        <v>4</v>
      </c>
      <c r="H11">
        <v>3</v>
      </c>
      <c r="I11">
        <v>1</v>
      </c>
      <c r="J11">
        <v>12</v>
      </c>
      <c r="K11">
        <v>2710</v>
      </c>
      <c r="L11">
        <v>27243</v>
      </c>
      <c r="M11">
        <v>7603</v>
      </c>
      <c r="N11">
        <v>2917</v>
      </c>
      <c r="O11">
        <f t="shared" si="0"/>
        <v>1</v>
      </c>
    </row>
    <row r="12" spans="1:16" x14ac:dyDescent="0.3">
      <c r="A12" s="10" t="s">
        <v>31</v>
      </c>
      <c r="B12">
        <v>0</v>
      </c>
      <c r="C12">
        <v>11295</v>
      </c>
      <c r="D12">
        <v>420</v>
      </c>
      <c r="E12">
        <v>3</v>
      </c>
      <c r="F12">
        <v>27</v>
      </c>
      <c r="G12">
        <v>0</v>
      </c>
      <c r="H12">
        <v>5</v>
      </c>
      <c r="I12">
        <v>0</v>
      </c>
      <c r="J12">
        <v>86</v>
      </c>
      <c r="K12">
        <v>690</v>
      </c>
      <c r="L12">
        <v>8354</v>
      </c>
      <c r="M12">
        <v>770</v>
      </c>
      <c r="N12">
        <v>3014</v>
      </c>
      <c r="O12">
        <f t="shared" si="0"/>
        <v>0</v>
      </c>
    </row>
    <row r="13" spans="1:16" x14ac:dyDescent="0.3">
      <c r="A13" s="10" t="s">
        <v>32</v>
      </c>
      <c r="B13">
        <v>15</v>
      </c>
      <c r="C13">
        <v>6382</v>
      </c>
      <c r="D13">
        <v>10645</v>
      </c>
      <c r="E13">
        <v>24</v>
      </c>
      <c r="F13">
        <v>33</v>
      </c>
      <c r="G13">
        <v>4</v>
      </c>
      <c r="H13">
        <v>2</v>
      </c>
      <c r="I13">
        <v>0</v>
      </c>
      <c r="J13">
        <v>61</v>
      </c>
      <c r="K13">
        <v>1197</v>
      </c>
      <c r="L13">
        <v>40695</v>
      </c>
      <c r="M13">
        <v>1707</v>
      </c>
      <c r="N13">
        <v>4970</v>
      </c>
      <c r="O13">
        <f t="shared" si="0"/>
        <v>1</v>
      </c>
    </row>
    <row r="14" spans="1:16" x14ac:dyDescent="0.3">
      <c r="A14" s="10" t="s">
        <v>42</v>
      </c>
      <c r="B14">
        <v>131</v>
      </c>
      <c r="C14">
        <v>6810</v>
      </c>
      <c r="D14">
        <v>3146</v>
      </c>
      <c r="E14">
        <v>5</v>
      </c>
      <c r="F14">
        <v>83</v>
      </c>
      <c r="G14">
        <v>9</v>
      </c>
      <c r="H14">
        <v>6</v>
      </c>
      <c r="I14">
        <v>1</v>
      </c>
      <c r="J14">
        <v>516</v>
      </c>
      <c r="K14">
        <v>2048</v>
      </c>
      <c r="L14">
        <v>52110</v>
      </c>
      <c r="M14">
        <v>2413</v>
      </c>
      <c r="N14">
        <v>4523</v>
      </c>
      <c r="O14">
        <f t="shared" si="0"/>
        <v>1</v>
      </c>
    </row>
    <row r="15" spans="1:16" x14ac:dyDescent="0.3">
      <c r="A15" s="10" t="s">
        <v>43</v>
      </c>
      <c r="B15">
        <v>0</v>
      </c>
      <c r="C15">
        <v>2096</v>
      </c>
      <c r="D15">
        <v>6</v>
      </c>
      <c r="E15">
        <v>1</v>
      </c>
      <c r="F15">
        <v>4</v>
      </c>
      <c r="G15">
        <v>0</v>
      </c>
      <c r="H15">
        <v>1</v>
      </c>
      <c r="I15">
        <v>0</v>
      </c>
      <c r="J15">
        <v>65</v>
      </c>
      <c r="K15">
        <v>791</v>
      </c>
      <c r="L15">
        <v>1497</v>
      </c>
      <c r="M15">
        <v>417</v>
      </c>
      <c r="N15">
        <v>209</v>
      </c>
      <c r="O15">
        <f t="shared" si="0"/>
        <v>0</v>
      </c>
    </row>
    <row r="16" spans="1:16" x14ac:dyDescent="0.3">
      <c r="A16" s="11" t="s">
        <v>44</v>
      </c>
      <c r="B16">
        <v>0</v>
      </c>
      <c r="C16">
        <v>84086</v>
      </c>
      <c r="D16">
        <v>8592</v>
      </c>
      <c r="E16">
        <v>0</v>
      </c>
      <c r="F16">
        <v>108</v>
      </c>
      <c r="G16">
        <v>4</v>
      </c>
      <c r="H16">
        <v>1</v>
      </c>
      <c r="I16">
        <v>0</v>
      </c>
      <c r="J16">
        <v>13</v>
      </c>
      <c r="K16">
        <v>8930</v>
      </c>
      <c r="L16">
        <v>8010121</v>
      </c>
      <c r="M16">
        <v>61786</v>
      </c>
      <c r="N16">
        <v>623556</v>
      </c>
      <c r="O16">
        <f t="shared" si="0"/>
        <v>1</v>
      </c>
    </row>
    <row r="17" spans="1:15" x14ac:dyDescent="0.3">
      <c r="A17" s="11" t="s">
        <v>45</v>
      </c>
      <c r="B17">
        <v>0</v>
      </c>
      <c r="C17">
        <v>5921</v>
      </c>
      <c r="D17">
        <v>1038</v>
      </c>
      <c r="E17">
        <v>4</v>
      </c>
      <c r="F17">
        <v>113</v>
      </c>
      <c r="G17">
        <v>9</v>
      </c>
      <c r="H17">
        <v>5</v>
      </c>
      <c r="I17">
        <v>1</v>
      </c>
      <c r="J17">
        <v>36</v>
      </c>
      <c r="K17">
        <v>814</v>
      </c>
      <c r="L17">
        <v>20119</v>
      </c>
      <c r="M17">
        <v>720</v>
      </c>
      <c r="N17">
        <v>1545</v>
      </c>
      <c r="O17">
        <f t="shared" si="0"/>
        <v>1</v>
      </c>
    </row>
    <row r="18" spans="1:15" x14ac:dyDescent="0.3">
      <c r="A18" s="11" t="s">
        <v>46</v>
      </c>
      <c r="B18">
        <v>57</v>
      </c>
      <c r="C18">
        <v>108995</v>
      </c>
      <c r="D18">
        <v>2448</v>
      </c>
      <c r="E18">
        <v>8</v>
      </c>
      <c r="F18">
        <v>1291</v>
      </c>
      <c r="G18">
        <v>8</v>
      </c>
      <c r="H18">
        <v>1</v>
      </c>
      <c r="I18">
        <v>1</v>
      </c>
      <c r="J18">
        <v>24</v>
      </c>
      <c r="K18">
        <v>14883</v>
      </c>
      <c r="L18">
        <v>650184</v>
      </c>
      <c r="M18">
        <v>31181</v>
      </c>
      <c r="N18">
        <v>111023</v>
      </c>
      <c r="O18">
        <f t="shared" si="0"/>
        <v>0</v>
      </c>
    </row>
    <row r="19" spans="1:15" x14ac:dyDescent="0.3">
      <c r="A19" s="11" t="s">
        <v>47</v>
      </c>
      <c r="B19">
        <v>0</v>
      </c>
      <c r="C19">
        <v>61118</v>
      </c>
      <c r="D19">
        <v>1945</v>
      </c>
      <c r="E19">
        <v>0</v>
      </c>
      <c r="F19">
        <v>43</v>
      </c>
      <c r="G19">
        <v>4</v>
      </c>
      <c r="H19">
        <v>1</v>
      </c>
      <c r="I19">
        <v>1</v>
      </c>
      <c r="J19">
        <v>43</v>
      </c>
      <c r="K19">
        <v>2529</v>
      </c>
      <c r="L19">
        <v>82007</v>
      </c>
      <c r="M19">
        <v>21849</v>
      </c>
      <c r="N19">
        <v>37795</v>
      </c>
      <c r="O19">
        <f t="shared" si="0"/>
        <v>0</v>
      </c>
    </row>
    <row r="20" spans="1:15" x14ac:dyDescent="0.3">
      <c r="A20" s="11" t="s">
        <v>48</v>
      </c>
      <c r="B20">
        <v>33</v>
      </c>
      <c r="C20">
        <v>23965</v>
      </c>
      <c r="D20">
        <v>680</v>
      </c>
      <c r="E20">
        <v>8</v>
      </c>
      <c r="F20">
        <v>198</v>
      </c>
      <c r="G20">
        <v>6</v>
      </c>
      <c r="H20">
        <v>1</v>
      </c>
      <c r="I20">
        <v>1</v>
      </c>
      <c r="J20">
        <v>91</v>
      </c>
      <c r="K20">
        <v>3434</v>
      </c>
      <c r="L20">
        <v>40594</v>
      </c>
      <c r="M20">
        <v>3489</v>
      </c>
      <c r="N20">
        <v>12682</v>
      </c>
      <c r="O20">
        <f t="shared" si="0"/>
        <v>0</v>
      </c>
    </row>
    <row r="21" spans="1:15" x14ac:dyDescent="0.3">
      <c r="A21" s="11" t="s">
        <v>49</v>
      </c>
      <c r="B21">
        <v>21</v>
      </c>
      <c r="C21">
        <v>23176</v>
      </c>
      <c r="D21">
        <v>20802</v>
      </c>
      <c r="E21">
        <v>0</v>
      </c>
      <c r="F21">
        <v>392</v>
      </c>
      <c r="G21">
        <v>4</v>
      </c>
      <c r="H21">
        <v>0</v>
      </c>
      <c r="I21">
        <v>1</v>
      </c>
      <c r="J21">
        <v>78</v>
      </c>
      <c r="K21">
        <v>2365</v>
      </c>
      <c r="L21">
        <v>40156</v>
      </c>
      <c r="M21">
        <v>1089</v>
      </c>
      <c r="N21">
        <v>7512</v>
      </c>
      <c r="O21">
        <f t="shared" si="0"/>
        <v>0</v>
      </c>
    </row>
    <row r="22" spans="1:15" x14ac:dyDescent="0.3">
      <c r="A22" s="11" t="s">
        <v>50</v>
      </c>
      <c r="B22">
        <v>43</v>
      </c>
      <c r="C22">
        <v>10069</v>
      </c>
      <c r="D22">
        <v>1157</v>
      </c>
      <c r="E22">
        <v>1</v>
      </c>
      <c r="F22">
        <v>50</v>
      </c>
      <c r="G22">
        <v>29</v>
      </c>
      <c r="H22">
        <v>10</v>
      </c>
      <c r="I22">
        <v>1</v>
      </c>
      <c r="J22">
        <v>58</v>
      </c>
      <c r="K22">
        <v>1137</v>
      </c>
      <c r="L22">
        <v>28139</v>
      </c>
      <c r="M22">
        <v>4386</v>
      </c>
      <c r="N22">
        <v>9580</v>
      </c>
      <c r="O22">
        <f t="shared" si="0"/>
        <v>1</v>
      </c>
    </row>
    <row r="23" spans="1:15" x14ac:dyDescent="0.3">
      <c r="A23" s="11" t="s">
        <v>51</v>
      </c>
      <c r="B23">
        <v>0</v>
      </c>
      <c r="C23">
        <v>8283</v>
      </c>
      <c r="D23">
        <v>973</v>
      </c>
      <c r="E23">
        <v>0</v>
      </c>
      <c r="F23">
        <v>0</v>
      </c>
      <c r="G23">
        <v>0</v>
      </c>
      <c r="H23">
        <v>2</v>
      </c>
      <c r="I23">
        <v>0</v>
      </c>
      <c r="J23">
        <v>56</v>
      </c>
      <c r="K23">
        <v>972</v>
      </c>
      <c r="L23">
        <v>837</v>
      </c>
      <c r="M23">
        <v>0</v>
      </c>
      <c r="N23">
        <v>148</v>
      </c>
      <c r="O23">
        <f t="shared" si="0"/>
        <v>0</v>
      </c>
    </row>
    <row r="24" spans="1:15" x14ac:dyDescent="0.3">
      <c r="A24" s="11" t="s">
        <v>52</v>
      </c>
      <c r="B24">
        <v>1</v>
      </c>
      <c r="C24">
        <v>9658</v>
      </c>
      <c r="D24">
        <v>2592</v>
      </c>
      <c r="E24">
        <v>5</v>
      </c>
      <c r="F24">
        <v>276</v>
      </c>
      <c r="G24">
        <v>15</v>
      </c>
      <c r="H24">
        <v>1</v>
      </c>
      <c r="I24">
        <v>1</v>
      </c>
      <c r="J24">
        <v>60</v>
      </c>
      <c r="K24">
        <v>3121</v>
      </c>
      <c r="L24">
        <v>30965</v>
      </c>
      <c r="M24">
        <v>3159</v>
      </c>
      <c r="N24">
        <v>9040</v>
      </c>
      <c r="O24">
        <f t="shared" si="0"/>
        <v>0</v>
      </c>
    </row>
    <row r="25" spans="1:15" ht="35.25" customHeight="1" x14ac:dyDescent="0.3">
      <c r="A25" s="11" t="s">
        <v>53</v>
      </c>
      <c r="B25">
        <v>176</v>
      </c>
      <c r="C25">
        <v>18717</v>
      </c>
      <c r="D25">
        <v>5010</v>
      </c>
      <c r="E25">
        <v>1</v>
      </c>
      <c r="F25">
        <v>226</v>
      </c>
      <c r="G25">
        <v>50</v>
      </c>
      <c r="H25">
        <v>0</v>
      </c>
      <c r="I25">
        <v>1</v>
      </c>
      <c r="J25">
        <v>38</v>
      </c>
      <c r="K25">
        <v>6073</v>
      </c>
      <c r="L25">
        <v>106294</v>
      </c>
      <c r="M25">
        <v>3677</v>
      </c>
      <c r="N25">
        <v>24663</v>
      </c>
      <c r="O25">
        <f t="shared" si="0"/>
        <v>0</v>
      </c>
    </row>
    <row r="26" spans="1:15" x14ac:dyDescent="0.3">
      <c r="A26" s="2"/>
    </row>
    <row r="27" spans="1:15" x14ac:dyDescent="0.3">
      <c r="A27" s="2"/>
    </row>
    <row r="28" spans="1:15" x14ac:dyDescent="0.3">
      <c r="A28" s="2"/>
    </row>
    <row r="29" spans="1:15" x14ac:dyDescent="0.3">
      <c r="A29" s="2"/>
    </row>
    <row r="30" spans="1:15" x14ac:dyDescent="0.3">
      <c r="A30" s="2"/>
    </row>
    <row r="31" spans="1:15" x14ac:dyDescent="0.3">
      <c r="A31" s="2"/>
    </row>
    <row r="32" spans="1:15" x14ac:dyDescent="0.3">
      <c r="A32" s="2"/>
    </row>
    <row r="33" spans="1:1" x14ac:dyDescent="0.3">
      <c r="A33" s="2"/>
    </row>
  </sheetData>
  <pageMargins left="0.7" right="0.7" top="0.75" bottom="0.75" header="0.3" footer="0.3"/>
  <pageSetup paperSize="9"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Corelaytsiya</vt:lpstr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?????</dc:creator>
  <cp:lastModifiedBy>илья перагов</cp:lastModifiedBy>
  <dcterms:created xsi:type="dcterms:W3CDTF">2022-12-07T14:30:22Z</dcterms:created>
  <dcterms:modified xsi:type="dcterms:W3CDTF">2022-12-15T15:39:06Z</dcterms:modified>
</cp:coreProperties>
</file>